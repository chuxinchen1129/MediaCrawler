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cho/MediaCrawler/"/>
    </mc:Choice>
  </mc:AlternateContent>
  <xr:revisionPtr revIDLastSave="0" documentId="13_ncr:1_{A922D492-7FAC-594B-8506-9E9837D4ADA2}" xr6:coauthVersionLast="47" xr6:coauthVersionMax="47" xr10:uidLastSave="{00000000-0000-0000-0000-000000000000}"/>
  <bookViews>
    <workbookView xWindow="0" yWindow="500" windowWidth="38400" windowHeight="19140" activeTab="3" xr2:uid="{00000000-000D-0000-FFFF-FFFF00000000}"/>
  </bookViews>
  <sheets>
    <sheet name="基本信息" sheetId="1" r:id="rId1"/>
    <sheet name="项目目标" sheetId="2" r:id="rId2"/>
    <sheet name="核心发现" sheetId="3" r:id="rId3"/>
    <sheet name="消费场景分析" sheetId="4" r:id="rId4"/>
    <sheet name="品牌分析" sheetId="5" r:id="rId5"/>
    <sheet name="用户画像" sheetId="6" r:id="rId6"/>
    <sheet name="高赞评论TOP3" sheetId="7" r:id="rId7"/>
    <sheet name="交付成果" sheetId="8" r:id="rId8"/>
    <sheet name="关键建议" sheetId="9" r:id="rId9"/>
    <sheet name="后续研究方向" sheetId="10" r:id="rId10"/>
    <sheet name="技术方案" sheetId="11" r:id="rId11"/>
    <sheet name="技术问题解决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4" l="1"/>
  <c r="D5" i="4" s="1"/>
  <c r="D4" i="4" l="1"/>
  <c r="D11" i="4"/>
  <c r="D10" i="4"/>
  <c r="D9" i="4"/>
  <c r="D8" i="4"/>
  <c r="D7" i="4"/>
  <c r="D6" i="4"/>
</calcChain>
</file>

<file path=xl/sharedStrings.xml><?xml version="1.0" encoding="utf-8"?>
<sst xmlns="http://schemas.openxmlformats.org/spreadsheetml/2006/main" count="264" uniqueCount="209">
  <si>
    <t>项目档案：无醇啤酒小红书数据分析</t>
  </si>
  <si>
    <t>项目名称</t>
  </si>
  <si>
    <t>无醇啤酒小红书用户评论数据分析</t>
  </si>
  <si>
    <t>完成日期</t>
  </si>
  <si>
    <t>2026-01-26</t>
  </si>
  <si>
    <t>数据来源</t>
  </si>
  <si>
    <t>小红书平台</t>
  </si>
  <si>
    <t>搜索关键词</t>
  </si>
  <si>
    <t>无醇啤酒</t>
  </si>
  <si>
    <t>数据规模</t>
  </si>
  <si>
    <t>100条笔记 + 2,011条评论</t>
  </si>
  <si>
    <t>项目状态</t>
  </si>
  <si>
    <t>✅ 已完成</t>
  </si>
  <si>
    <t>项目目标</t>
  </si>
  <si>
    <t>分析消费者对无醇啤酒的购买意愿</t>
  </si>
  <si>
    <t>识别真实的消费场景</t>
  </si>
  <si>
    <t>评估品牌提及率和竞争格局</t>
  </si>
  <si>
    <t>构建用户画像</t>
  </si>
  <si>
    <t>提供产品优化和市场策略建议</t>
  </si>
  <si>
    <t>核心发现</t>
  </si>
  <si>
    <t>消费者意愿分布</t>
  </si>
  <si>
    <t>类别</t>
  </si>
  <si>
    <t>占比</t>
  </si>
  <si>
    <t>备注</t>
  </si>
  <si>
    <t>愿意尝试</t>
  </si>
  <si>
    <t>78.6%</t>
  </si>
  <si>
    <t>不愿意尝试</t>
  </si>
  <si>
    <t>21.4%</t>
  </si>
  <si>
    <t>愿意尝试的原因</t>
  </si>
  <si>
    <t>原因</t>
  </si>
  <si>
    <t>排名</t>
  </si>
  <si>
    <t>口感好</t>
  </si>
  <si>
    <t>50.7%</t>
  </si>
  <si>
    <t>1</t>
  </si>
  <si>
    <t>社交/聚会</t>
  </si>
  <si>
    <t>11.1%</t>
  </si>
  <si>
    <t>2</t>
  </si>
  <si>
    <t>健身/减肥</t>
  </si>
  <si>
    <t>9.0%</t>
  </si>
  <si>
    <t>3</t>
  </si>
  <si>
    <t>好奇尝鲜</t>
  </si>
  <si>
    <t>8.3%</t>
  </si>
  <si>
    <t>4</t>
  </si>
  <si>
    <t>替代传统啤酒</t>
  </si>
  <si>
    <t>6.5%</t>
  </si>
  <si>
    <t>5</t>
  </si>
  <si>
    <t>不愿意尝试的原因</t>
  </si>
  <si>
    <t>口感不好</t>
  </si>
  <si>
    <t>48.3%</t>
  </si>
  <si>
    <t>失望体验</t>
  </si>
  <si>
    <t>32.3%</t>
  </si>
  <si>
    <t>价格/性价比</t>
  </si>
  <si>
    <t>10.5%</t>
  </si>
  <si>
    <t>高频消费场景 TOP 8</t>
  </si>
  <si>
    <t>场景</t>
  </si>
  <si>
    <t>提及次数</t>
  </si>
  <si>
    <t>聚会</t>
  </si>
  <si>
    <t>开车</t>
  </si>
  <si>
    <t>49</t>
  </si>
  <si>
    <t>健身</t>
  </si>
  <si>
    <t>夏天</t>
  </si>
  <si>
    <t>宵夜</t>
  </si>
  <si>
    <t>6</t>
  </si>
  <si>
    <t>火锅</t>
  </si>
  <si>
    <t>7</t>
  </si>
  <si>
    <t>居家</t>
  </si>
  <si>
    <t>8</t>
  </si>
  <si>
    <t>减肥</t>
  </si>
  <si>
    <t>品牌提及率分析</t>
  </si>
  <si>
    <t>品牌</t>
  </si>
  <si>
    <t>提及率</t>
  </si>
  <si>
    <t>特点</t>
  </si>
  <si>
    <t>新零</t>
  </si>
  <si>
    <t>26.8%</t>
  </si>
  <si>
    <t>98</t>
  </si>
  <si>
    <t>宣传多但用户讨论少</t>
  </si>
  <si>
    <t>青岛无醇</t>
  </si>
  <si>
    <t>13.4%</t>
  </si>
  <si>
    <t>有"怪味"问题但整体正面72.5%</t>
  </si>
  <si>
    <t>其他无醇</t>
  </si>
  <si>
    <t>57.7%</t>
  </si>
  <si>
    <t>211</t>
  </si>
  <si>
    <t>其他品牌汇总</t>
  </si>
  <si>
    <t>用户画像 - 四大类型</t>
  </si>
  <si>
    <t>类型</t>
  </si>
  <si>
    <t>特征</t>
  </si>
  <si>
    <t>描述</t>
  </si>
  <si>
    <t>社交型</t>
  </si>
  <si>
    <t>24%</t>
  </si>
  <si>
    <t>注重社交氛围</t>
  </si>
  <si>
    <t>聚会场景驱动，强调融入感</t>
  </si>
  <si>
    <t>实用型</t>
  </si>
  <si>
    <t>28%</t>
  </si>
  <si>
    <t>刚性需求</t>
  </si>
  <si>
    <t>开车、孕妇等需要0酒精的群体</t>
  </si>
  <si>
    <t>健康型</t>
  </si>
  <si>
    <t>22%</t>
  </si>
  <si>
    <t>健康导向</t>
  </si>
  <si>
    <t>健身、减肥、养生人群</t>
  </si>
  <si>
    <t>体验型</t>
  </si>
  <si>
    <t>26%</t>
  </si>
  <si>
    <t>尝鲜心理</t>
  </si>
  <si>
    <t>好奇尝鲜，愿意尝试新品</t>
  </si>
  <si>
    <t>高赞评论 TOP 3</t>
  </si>
  <si>
    <t>评论内容</t>
  </si>
  <si>
    <t>点赞数</t>
  </si>
  <si>
    <t>痛风不语，只是一味发作</t>
  </si>
  <si>
    <t>8,404</t>
  </si>
  <si>
    <t>人不能直接喝尿</t>
  </si>
  <si>
    <t>3,851</t>
  </si>
  <si>
    <t>想喝有酒精没酒味的</t>
  </si>
  <si>
    <t>1,262</t>
  </si>
  <si>
    <t>项目交付成果清单</t>
  </si>
  <si>
    <t>数据文件</t>
  </si>
  <si>
    <t>原始数据</t>
  </si>
  <si>
    <t>xhs_search_20260126_162338.xlsx</t>
  </si>
  <si>
    <t>清洗后数据</t>
  </si>
  <si>
    <t>xhs_search_20260126_162338_cleaned.xlsx</t>
  </si>
  <si>
    <t>包含笔记数据、评论数据、热度TOP20等</t>
  </si>
  <si>
    <t>可视化图表</t>
  </si>
  <si>
    <t>数据分析报告</t>
  </si>
  <si>
    <t>data_analysis_report.png - 品牌提及率和热门话题分析</t>
  </si>
  <si>
    <t>消费场景分析</t>
  </si>
  <si>
    <t>consumption_scenarios_analysis.png - 消费场景分析</t>
  </si>
  <si>
    <t>消费者洞察</t>
  </si>
  <si>
    <t>consumer_insights_analysis.png - 消费者洞察</t>
  </si>
  <si>
    <t>新零品牌分析</t>
  </si>
  <si>
    <t>xinling_brand_analysis.png - 新零品牌分析</t>
  </si>
  <si>
    <t>消费者意愿分析</t>
  </si>
  <si>
    <t>consumer_intent_analysis.png - 消费者意愿分析</t>
  </si>
  <si>
    <t>PPT演示文稿</t>
  </si>
  <si>
    <t>文件名</t>
  </si>
  <si>
    <t>无醇啤酒消费者意愿与场景语义分析.pptx</t>
  </si>
  <si>
    <t>页数</t>
  </si>
  <si>
    <t>10页</t>
  </si>
  <si>
    <t>配色</t>
  </si>
  <si>
    <t>Teal &amp; Coral (#5EA8A7, #FE4447)</t>
  </si>
  <si>
    <t>文档</t>
  </si>
  <si>
    <t>数据清洗说明</t>
  </si>
  <si>
    <t>数据清洗说明.md - 完整的数据清洗报告</t>
  </si>
  <si>
    <t>字体配置说明</t>
  </si>
  <si>
    <t>词云图使用配置.md - Matplotlib中文字体配置</t>
  </si>
  <si>
    <t>关键建议</t>
  </si>
  <si>
    <t>建议内容</t>
  </si>
  <si>
    <t>优先级</t>
  </si>
  <si>
    <t>产品优化</t>
  </si>
  <si>
    <t>解决口感问题 - 50.7%愿意因为口感，48.3%不愿意因为口感</t>
  </si>
  <si>
    <t>高</t>
  </si>
  <si>
    <t>消除"怪味" - 青岛无醇的主要问题</t>
  </si>
  <si>
    <t>降低尝试门槛 - 小包装、试饮装</t>
  </si>
  <si>
    <t>场景营销</t>
  </si>
  <si>
    <t>聚焦三大场景：聚会、开车、健身</t>
  </si>
  <si>
    <t>强化"不扫兴+0负担"卖点</t>
  </si>
  <si>
    <t>中</t>
  </si>
  <si>
    <t>夏季、宵夜、火锅场景推广</t>
  </si>
  <si>
    <t>品牌策略</t>
  </si>
  <si>
    <t>新零：从"声量驱动"转向"口碑驱动"</t>
  </si>
  <si>
    <t>青岛：优化口感，发挥品牌信任度优势</t>
  </si>
  <si>
    <t>增加UGC内容激励</t>
  </si>
  <si>
    <t>精准触达</t>
  </si>
  <si>
    <t>社交型：强调氛围融入</t>
  </si>
  <si>
    <t>实用型：强调安全可靠</t>
  </si>
  <si>
    <t>健康型：强调低卡无负担</t>
  </si>
  <si>
    <t>体验型：强调新奇体验</t>
  </si>
  <si>
    <t>后续研究方向</t>
  </si>
  <si>
    <t>竞品对比分析（新零 vs 青岛vs 进口品牌）</t>
  </si>
  <si>
    <t>价格敏感度分析</t>
  </si>
  <si>
    <t>地域分布分析</t>
  </si>
  <si>
    <t>时间趋势分析（季节性波动）</t>
  </si>
  <si>
    <t>用户画像深化（年龄、性别、职业）</t>
  </si>
  <si>
    <t>扩大样本量到500-1000条笔记</t>
  </si>
  <si>
    <t>多平台对比（微博、抖音、B站）</t>
  </si>
  <si>
    <t>技术方案与工具</t>
  </si>
  <si>
    <t>说明</t>
  </si>
  <si>
    <t>数据清洗</t>
  </si>
  <si>
    <t>时间戳转换、新增热度字段、内容长度计算</t>
  </si>
  <si>
    <t>中文字体配置</t>
  </si>
  <si>
    <t>使用STZHONGS.TTF字体解决matplotlib中文乱码</t>
  </si>
  <si>
    <t>分析工具</t>
  </si>
  <si>
    <t>Python 3.x, pandas, matplotlib, jieba, PptxGenJS</t>
  </si>
  <si>
    <t>数据可视化</t>
  </si>
  <si>
    <t>matplotlib生成各类统计图表</t>
  </si>
  <si>
    <t>PPT生成</t>
  </si>
  <si>
    <t>PptxGenJS + html2pptx</t>
  </si>
  <si>
    <t>数据处理</t>
  </si>
  <si>
    <t>pandas数据清洗与转换</t>
  </si>
  <si>
    <t>中文分词</t>
  </si>
  <si>
    <t>jieba分词与关键词提取</t>
  </si>
  <si>
    <t>技术问题与解决方案</t>
  </si>
  <si>
    <t>问题</t>
  </si>
  <si>
    <t>现象</t>
  </si>
  <si>
    <t>状态</t>
  </si>
  <si>
    <t>解决方案</t>
  </si>
  <si>
    <t>中文乱码</t>
  </si>
  <si>
    <t>matplotlib图表中文显示为方框</t>
  </si>
  <si>
    <t>✅ 已解决</t>
  </si>
  <si>
    <t>配置STZHONGS.TTF字体</t>
  </si>
  <si>
    <t>数据格式不统一</t>
  </si>
  <si>
    <t>时间戳格式混乱，数值字段为字符串</t>
  </si>
  <si>
    <t>编写数据清洗脚本，批量转换</t>
  </si>
  <si>
    <t>html2pptx验证严格</t>
  </si>
  <si>
    <t>渐变不支持、文本元素不能有背景、内容溢出</t>
  </si>
  <si>
    <t>改用纯色、div包装、调整padding</t>
  </si>
  <si>
    <t>好奇/尝鲜</t>
  </si>
  <si>
    <t>开车/驾驶</t>
  </si>
  <si>
    <t>酒精过敏</t>
  </si>
  <si>
    <t>健康/安全</t>
  </si>
  <si>
    <t>孕妇/特殊时期</t>
  </si>
  <si>
    <t>戒酒/控酒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</si>
</sst>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4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rgb="FF4472C4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Helvetica Neue"/>
      <family val="2"/>
    </font>
    <font>
      <sz val="16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3" fillId="0" borderId="1" xfId="0" applyNumberFormat="1" applyFont="1" applyBorder="1" applyAlignment="1">
      <alignment horizontal="left" vertical="center" wrapText="1"/>
    </xf>
    <xf numFmtId="9" fontId="0" fillId="0" borderId="0" xfId="1" applyFont="1" applyAlignment="1"/>
    <xf numFmtId="0" fontId="8" fillId="0" borderId="0" xfId="0" applyFont="1"/>
    <xf numFmtId="0" fontId="9" fillId="0" borderId="0" xfId="0" applyFont="1"/>
    <xf numFmtId="9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16" sqref="A16"/>
    </sheetView>
  </sheetViews>
  <sheetFormatPr baseColWidth="10" defaultColWidth="8.83203125" defaultRowHeight="14"/>
  <cols>
    <col min="1" max="1" width="20" customWidth="1"/>
    <col min="2" max="2" width="40" customWidth="1"/>
  </cols>
  <sheetData>
    <row r="1" spans="1:2">
      <c r="A1" s="11" t="s">
        <v>0</v>
      </c>
      <c r="B1" s="12"/>
    </row>
    <row r="3" spans="1:2" ht="17">
      <c r="A3" s="1" t="s">
        <v>1</v>
      </c>
      <c r="B3" s="2" t="s">
        <v>2</v>
      </c>
    </row>
    <row r="4" spans="1:2" ht="17">
      <c r="A4" s="1" t="s">
        <v>3</v>
      </c>
      <c r="B4" s="2" t="s">
        <v>4</v>
      </c>
    </row>
    <row r="5" spans="1:2" ht="17">
      <c r="A5" s="1" t="s">
        <v>5</v>
      </c>
      <c r="B5" s="2" t="s">
        <v>6</v>
      </c>
    </row>
    <row r="6" spans="1:2" ht="17">
      <c r="A6" s="1" t="s">
        <v>7</v>
      </c>
      <c r="B6" s="2" t="s">
        <v>8</v>
      </c>
    </row>
    <row r="7" spans="1:2" ht="17">
      <c r="A7" s="1" t="s">
        <v>9</v>
      </c>
      <c r="B7" s="2" t="s">
        <v>10</v>
      </c>
    </row>
    <row r="8" spans="1:2" ht="17">
      <c r="A8" s="1" t="s">
        <v>11</v>
      </c>
      <c r="B8" s="2" t="s">
        <v>12</v>
      </c>
    </row>
  </sheetData>
  <mergeCells count="1">
    <mergeCell ref="A1:B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baseColWidth="10" defaultColWidth="8.83203125" defaultRowHeight="14"/>
  <cols>
    <col min="1" max="1" width="50" customWidth="1"/>
    <col min="2" max="2" width="15" customWidth="1"/>
  </cols>
  <sheetData>
    <row r="1" spans="1:2">
      <c r="A1" s="11" t="s">
        <v>13</v>
      </c>
      <c r="B1" s="12"/>
    </row>
    <row r="3" spans="1:2" ht="17">
      <c r="A3" s="2" t="s">
        <v>14</v>
      </c>
      <c r="B3" s="3">
        <v>1</v>
      </c>
    </row>
    <row r="4" spans="1:2" ht="17">
      <c r="A4" s="2" t="s">
        <v>15</v>
      </c>
      <c r="B4" s="3">
        <v>2</v>
      </c>
    </row>
    <row r="5" spans="1:2" ht="17">
      <c r="A5" s="2" t="s">
        <v>16</v>
      </c>
      <c r="B5" s="3">
        <v>3</v>
      </c>
    </row>
    <row r="6" spans="1:2" ht="17">
      <c r="A6" s="2" t="s">
        <v>17</v>
      </c>
      <c r="B6" s="3">
        <v>4</v>
      </c>
    </row>
    <row r="7" spans="1:2" ht="17">
      <c r="A7" s="2" t="s">
        <v>18</v>
      </c>
      <c r="B7" s="3">
        <v>5</v>
      </c>
    </row>
  </sheetData>
  <mergeCells count="1">
    <mergeCell ref="A1:B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B29" sqref="B29"/>
    </sheetView>
  </sheetViews>
  <sheetFormatPr baseColWidth="10" defaultColWidth="8.83203125" defaultRowHeight="14"/>
  <cols>
    <col min="1" max="2" width="25" customWidth="1"/>
    <col min="3" max="3" width="15" customWidth="1"/>
  </cols>
  <sheetData>
    <row r="1" spans="1:3">
      <c r="A1" s="11" t="s">
        <v>19</v>
      </c>
      <c r="B1" s="12"/>
      <c r="C1" s="12"/>
    </row>
    <row r="3" spans="1:3" ht="17">
      <c r="A3" s="13" t="s">
        <v>20</v>
      </c>
      <c r="B3" s="12"/>
      <c r="C3" s="12"/>
    </row>
    <row r="4" spans="1:3" ht="19">
      <c r="A4" s="5" t="s">
        <v>21</v>
      </c>
      <c r="B4" s="5" t="s">
        <v>22</v>
      </c>
      <c r="C4" s="5" t="s">
        <v>23</v>
      </c>
    </row>
    <row r="5" spans="1:3" ht="18">
      <c r="A5" s="6" t="s">
        <v>24</v>
      </c>
      <c r="B5" s="7" t="s">
        <v>25</v>
      </c>
      <c r="C5" s="7"/>
    </row>
    <row r="7" spans="1:3" ht="18">
      <c r="A7" s="6" t="s">
        <v>26</v>
      </c>
      <c r="B7" s="7" t="s">
        <v>27</v>
      </c>
      <c r="C7" s="7"/>
    </row>
    <row r="9" spans="1:3" ht="17">
      <c r="A9" s="13" t="s">
        <v>28</v>
      </c>
      <c r="B9" s="12"/>
      <c r="C9" s="12"/>
    </row>
    <row r="10" spans="1:3" ht="19">
      <c r="A10" s="5" t="s">
        <v>29</v>
      </c>
      <c r="B10" s="5" t="s">
        <v>22</v>
      </c>
      <c r="C10" s="5" t="s">
        <v>30</v>
      </c>
    </row>
    <row r="11" spans="1:3" ht="18">
      <c r="A11" s="6" t="s">
        <v>31</v>
      </c>
      <c r="B11" s="7" t="s">
        <v>32</v>
      </c>
      <c r="C11" s="7" t="s">
        <v>33</v>
      </c>
    </row>
    <row r="12" spans="1:3" ht="18">
      <c r="A12" s="6" t="s">
        <v>34</v>
      </c>
      <c r="B12" s="7" t="s">
        <v>35</v>
      </c>
      <c r="C12" s="7" t="s">
        <v>36</v>
      </c>
    </row>
    <row r="13" spans="1:3" ht="18">
      <c r="A13" s="6" t="s">
        <v>37</v>
      </c>
      <c r="B13" s="7" t="s">
        <v>38</v>
      </c>
      <c r="C13" s="7" t="s">
        <v>39</v>
      </c>
    </row>
    <row r="14" spans="1:3" ht="18">
      <c r="A14" s="6" t="s">
        <v>40</v>
      </c>
      <c r="B14" s="7" t="s">
        <v>41</v>
      </c>
      <c r="C14" s="7" t="s">
        <v>42</v>
      </c>
    </row>
    <row r="15" spans="1:3" ht="18">
      <c r="A15" s="6" t="s">
        <v>43</v>
      </c>
      <c r="B15" s="7" t="s">
        <v>44</v>
      </c>
      <c r="C15" s="7" t="s">
        <v>45</v>
      </c>
    </row>
    <row r="17" spans="1:3" ht="17">
      <c r="A17" s="13" t="s">
        <v>46</v>
      </c>
      <c r="B17" s="12"/>
      <c r="C17" s="12"/>
    </row>
    <row r="18" spans="1:3" ht="19">
      <c r="A18" s="5" t="s">
        <v>29</v>
      </c>
      <c r="B18" s="5" t="s">
        <v>22</v>
      </c>
      <c r="C18" s="5" t="s">
        <v>30</v>
      </c>
    </row>
    <row r="19" spans="1:3" ht="18">
      <c r="A19" s="6" t="s">
        <v>47</v>
      </c>
      <c r="B19" s="7" t="s">
        <v>48</v>
      </c>
      <c r="C19" s="7" t="s">
        <v>33</v>
      </c>
    </row>
    <row r="20" spans="1:3" ht="18">
      <c r="A20" s="6" t="s">
        <v>49</v>
      </c>
      <c r="B20" s="7" t="s">
        <v>50</v>
      </c>
      <c r="C20" s="7" t="s">
        <v>36</v>
      </c>
    </row>
    <row r="21" spans="1:3" ht="18">
      <c r="A21" s="6" t="s">
        <v>51</v>
      </c>
      <c r="B21" s="7" t="s">
        <v>52</v>
      </c>
      <c r="C21" s="7" t="s">
        <v>39</v>
      </c>
    </row>
  </sheetData>
  <mergeCells count="4">
    <mergeCell ref="A1:C1"/>
    <mergeCell ref="A9:C9"/>
    <mergeCell ref="A3:C3"/>
    <mergeCell ref="A17:C17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tabSelected="1" workbookViewId="0">
      <selection activeCell="T35" sqref="T35"/>
    </sheetView>
  </sheetViews>
  <sheetFormatPr baseColWidth="10" defaultColWidth="8.83203125" defaultRowHeight="14"/>
  <cols>
    <col min="1" max="1" width="20" customWidth="1"/>
    <col min="2" max="2" width="30" customWidth="1"/>
    <col min="3" max="3" width="15" customWidth="1"/>
    <col min="8" max="8" width="18.1640625" customWidth="1"/>
    <col min="9" max="9" width="12" customWidth="1"/>
  </cols>
  <sheetData>
    <row r="1" spans="1:9">
      <c r="A1" s="11" t="s">
        <v>53</v>
      </c>
      <c r="B1" s="12"/>
      <c r="C1" s="12"/>
    </row>
    <row r="3" spans="1:9" ht="19">
      <c r="A3" s="5" t="s">
        <v>30</v>
      </c>
      <c r="B3" s="5" t="s">
        <v>54</v>
      </c>
    </row>
    <row r="4" spans="1:9" ht="18">
      <c r="A4" s="7" t="s">
        <v>33</v>
      </c>
      <c r="B4" s="6" t="s">
        <v>56</v>
      </c>
      <c r="C4" s="18">
        <v>0.26366559485530544</v>
      </c>
      <c r="D4" s="15">
        <f>C18/$C$26</f>
        <v>0.26366559485530544</v>
      </c>
    </row>
    <row r="5" spans="1:9" ht="18">
      <c r="A5" s="7" t="s">
        <v>36</v>
      </c>
      <c r="B5" s="6" t="s">
        <v>57</v>
      </c>
      <c r="C5" s="18">
        <v>0.15755627009646303</v>
      </c>
      <c r="D5" s="15">
        <f>C19/$C$26</f>
        <v>0.15755627009646303</v>
      </c>
    </row>
    <row r="6" spans="1:9" ht="18">
      <c r="A6" s="7" t="s">
        <v>39</v>
      </c>
      <c r="B6" s="6" t="s">
        <v>59</v>
      </c>
      <c r="C6" s="18">
        <v>0.12540192926045016</v>
      </c>
      <c r="D6" s="15">
        <f>C20/$C$26</f>
        <v>0.12540192926045016</v>
      </c>
    </row>
    <row r="7" spans="1:9" ht="18">
      <c r="A7" s="7" t="s">
        <v>42</v>
      </c>
      <c r="B7" s="6" t="s">
        <v>60</v>
      </c>
      <c r="C7" s="18">
        <v>0.11254019292604502</v>
      </c>
      <c r="D7" s="15">
        <f>C21/$C$26</f>
        <v>0.11254019292604502</v>
      </c>
    </row>
    <row r="8" spans="1:9" ht="18">
      <c r="A8" s="7" t="s">
        <v>45</v>
      </c>
      <c r="B8" s="6" t="s">
        <v>61</v>
      </c>
      <c r="C8" s="18">
        <v>0.10289389067524116</v>
      </c>
      <c r="D8" s="15">
        <f>C22/$C$26</f>
        <v>0.10289389067524116</v>
      </c>
    </row>
    <row r="9" spans="1:9" ht="18">
      <c r="A9" s="7" t="s">
        <v>62</v>
      </c>
      <c r="B9" s="6" t="s">
        <v>63</v>
      </c>
      <c r="C9" s="18">
        <v>9.0032154340836015E-2</v>
      </c>
      <c r="D9" s="15">
        <f>C23/$C$26</f>
        <v>9.0032154340836015E-2</v>
      </c>
    </row>
    <row r="10" spans="1:9" ht="20">
      <c r="A10" s="7" t="s">
        <v>64</v>
      </c>
      <c r="B10" s="6" t="s">
        <v>65</v>
      </c>
      <c r="C10" s="18">
        <v>7.7170418006430874E-2</v>
      </c>
      <c r="D10" s="15">
        <f>C24/$C$26</f>
        <v>7.7170418006430874E-2</v>
      </c>
      <c r="H10" s="16" t="s">
        <v>29</v>
      </c>
      <c r="I10" s="16" t="s">
        <v>55</v>
      </c>
    </row>
    <row r="11" spans="1:9" ht="20">
      <c r="A11" s="7" t="s">
        <v>66</v>
      </c>
      <c r="B11" s="6" t="s">
        <v>67</v>
      </c>
      <c r="C11" s="18">
        <v>7.0739549839228297E-2</v>
      </c>
      <c r="D11" s="15">
        <f>C25/$C$26</f>
        <v>7.0739549839228297E-2</v>
      </c>
      <c r="H11" s="17" t="s">
        <v>31</v>
      </c>
      <c r="I11" s="15">
        <v>0.5074626865671642</v>
      </c>
    </row>
    <row r="12" spans="1:9" ht="20">
      <c r="H12" s="17" t="s">
        <v>34</v>
      </c>
      <c r="I12" s="15">
        <v>0.1112618724559023</v>
      </c>
    </row>
    <row r="13" spans="1:9" ht="20">
      <c r="H13" s="17" t="s">
        <v>37</v>
      </c>
      <c r="I13" s="15">
        <v>8.9552238805970144E-2</v>
      </c>
    </row>
    <row r="14" spans="1:9" ht="20">
      <c r="H14" s="17" t="s">
        <v>203</v>
      </c>
      <c r="I14" s="15">
        <v>8.6838534599728623E-2</v>
      </c>
    </row>
    <row r="15" spans="1:9" ht="20">
      <c r="H15" s="17" t="s">
        <v>204</v>
      </c>
      <c r="I15" s="15">
        <v>6.6485753052917235E-2</v>
      </c>
    </row>
    <row r="16" spans="1:9" ht="20">
      <c r="H16" s="17" t="s">
        <v>205</v>
      </c>
      <c r="I16" s="15">
        <v>4.3419267299864311E-2</v>
      </c>
    </row>
    <row r="17" spans="3:9" ht="20">
      <c r="C17" s="5" t="s">
        <v>55</v>
      </c>
      <c r="H17" s="17" t="s">
        <v>206</v>
      </c>
      <c r="I17" s="15">
        <v>3.7991858887381276E-2</v>
      </c>
    </row>
    <row r="18" spans="3:9" ht="20">
      <c r="C18" s="14">
        <v>82</v>
      </c>
      <c r="H18" s="17" t="s">
        <v>207</v>
      </c>
      <c r="I18" s="15">
        <v>3.1207598371777476E-2</v>
      </c>
    </row>
    <row r="19" spans="3:9" ht="20">
      <c r="C19" s="14">
        <v>49</v>
      </c>
      <c r="H19" s="17" t="s">
        <v>208</v>
      </c>
      <c r="I19" s="15">
        <v>2.5780189959294438E-2</v>
      </c>
    </row>
    <row r="20" spans="3:9" ht="17">
      <c r="C20" s="14">
        <v>39</v>
      </c>
    </row>
    <row r="21" spans="3:9" ht="17">
      <c r="C21" s="14">
        <v>35</v>
      </c>
    </row>
    <row r="22" spans="3:9" ht="17">
      <c r="C22" s="14">
        <v>32</v>
      </c>
    </row>
    <row r="23" spans="3:9" ht="17">
      <c r="C23" s="14">
        <v>28</v>
      </c>
    </row>
    <row r="24" spans="3:9" ht="17">
      <c r="C24" s="14">
        <v>24</v>
      </c>
    </row>
    <row r="25" spans="3:9" ht="17">
      <c r="C25" s="14">
        <v>22</v>
      </c>
    </row>
    <row r="26" spans="3:9">
      <c r="C26">
        <f>SUM(C18:C25)</f>
        <v>311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sqref="A1:D1"/>
    </sheetView>
  </sheetViews>
  <sheetFormatPr baseColWidth="10" defaultColWidth="8.83203125" defaultRowHeight="14"/>
  <cols>
    <col min="1" max="1" width="20" customWidth="1"/>
    <col min="2" max="2" width="30" customWidth="1"/>
    <col min="3" max="3" width="15" customWidth="1"/>
    <col min="4" max="4" width="40" customWidth="1"/>
  </cols>
  <sheetData>
    <row r="1" spans="1:4">
      <c r="A1" s="11" t="s">
        <v>68</v>
      </c>
      <c r="B1" s="12"/>
      <c r="C1" s="12"/>
      <c r="D1" s="12"/>
    </row>
    <row r="3" spans="1:4" ht="19">
      <c r="A3" s="5" t="s">
        <v>69</v>
      </c>
      <c r="B3" s="5" t="s">
        <v>70</v>
      </c>
      <c r="C3" s="5" t="s">
        <v>55</v>
      </c>
      <c r="D3" s="5" t="s">
        <v>71</v>
      </c>
    </row>
    <row r="4" spans="1:4" ht="18">
      <c r="A4" s="7" t="s">
        <v>72</v>
      </c>
      <c r="B4" s="7" t="s">
        <v>73</v>
      </c>
      <c r="C4" s="7" t="s">
        <v>74</v>
      </c>
      <c r="D4" s="6" t="s">
        <v>75</v>
      </c>
    </row>
    <row r="5" spans="1:4" ht="18">
      <c r="A5" s="7" t="s">
        <v>76</v>
      </c>
      <c r="B5" s="7" t="s">
        <v>77</v>
      </c>
      <c r="C5" s="7" t="s">
        <v>58</v>
      </c>
      <c r="D5" s="6" t="s">
        <v>78</v>
      </c>
    </row>
    <row r="6" spans="1:4" ht="18">
      <c r="A6" s="7" t="s">
        <v>79</v>
      </c>
      <c r="B6" s="7" t="s">
        <v>80</v>
      </c>
      <c r="C6" s="7" t="s">
        <v>81</v>
      </c>
      <c r="D6" s="6" t="s">
        <v>82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sqref="A1:D1"/>
    </sheetView>
  </sheetViews>
  <sheetFormatPr baseColWidth="10" defaultColWidth="8.83203125" defaultRowHeight="14"/>
  <cols>
    <col min="1" max="1" width="20" customWidth="1"/>
    <col min="2" max="2" width="30" customWidth="1"/>
    <col min="3" max="3" width="15" customWidth="1"/>
    <col min="4" max="4" width="40" customWidth="1"/>
  </cols>
  <sheetData>
    <row r="1" spans="1:4">
      <c r="A1" s="11" t="s">
        <v>83</v>
      </c>
      <c r="B1" s="12"/>
      <c r="C1" s="12"/>
      <c r="D1" s="12"/>
    </row>
    <row r="3" spans="1:4" ht="19">
      <c r="A3" s="5" t="s">
        <v>84</v>
      </c>
      <c r="B3" s="5" t="s">
        <v>22</v>
      </c>
      <c r="C3" s="5" t="s">
        <v>85</v>
      </c>
      <c r="D3" s="5" t="s">
        <v>86</v>
      </c>
    </row>
    <row r="4" spans="1:4" ht="18">
      <c r="A4" s="7" t="s">
        <v>87</v>
      </c>
      <c r="B4" s="7" t="s">
        <v>88</v>
      </c>
      <c r="C4" s="7" t="s">
        <v>89</v>
      </c>
      <c r="D4" s="6" t="s">
        <v>90</v>
      </c>
    </row>
    <row r="5" spans="1:4" ht="18">
      <c r="A5" s="7" t="s">
        <v>91</v>
      </c>
      <c r="B5" s="7" t="s">
        <v>92</v>
      </c>
      <c r="C5" s="7" t="s">
        <v>93</v>
      </c>
      <c r="D5" s="6" t="s">
        <v>94</v>
      </c>
    </row>
    <row r="6" spans="1:4" ht="18">
      <c r="A6" s="7" t="s">
        <v>95</v>
      </c>
      <c r="B6" s="7" t="s">
        <v>96</v>
      </c>
      <c r="C6" s="7" t="s">
        <v>97</v>
      </c>
      <c r="D6" s="6" t="s">
        <v>98</v>
      </c>
    </row>
    <row r="7" spans="1:4" ht="18">
      <c r="A7" s="7" t="s">
        <v>99</v>
      </c>
      <c r="B7" s="7" t="s">
        <v>100</v>
      </c>
      <c r="C7" s="7" t="s">
        <v>101</v>
      </c>
      <c r="D7" s="6" t="s">
        <v>102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sqref="A1:C1"/>
    </sheetView>
  </sheetViews>
  <sheetFormatPr baseColWidth="10" defaultColWidth="8.83203125" defaultRowHeight="14"/>
  <cols>
    <col min="1" max="1" width="10" customWidth="1"/>
    <col min="2" max="2" width="50" customWidth="1"/>
    <col min="3" max="3" width="15" customWidth="1"/>
  </cols>
  <sheetData>
    <row r="1" spans="1:3">
      <c r="A1" s="11" t="s">
        <v>103</v>
      </c>
      <c r="B1" s="12"/>
      <c r="C1" s="12"/>
    </row>
    <row r="3" spans="1:3" ht="19">
      <c r="A3" s="5" t="s">
        <v>30</v>
      </c>
      <c r="B3" s="5" t="s">
        <v>104</v>
      </c>
      <c r="C3" s="5" t="s">
        <v>105</v>
      </c>
    </row>
    <row r="4" spans="1:3" ht="18">
      <c r="A4" s="7" t="s">
        <v>33</v>
      </c>
      <c r="B4" s="6" t="s">
        <v>106</v>
      </c>
      <c r="C4" s="7" t="s">
        <v>107</v>
      </c>
    </row>
    <row r="5" spans="1:3" ht="18">
      <c r="A5" s="7" t="s">
        <v>36</v>
      </c>
      <c r="B5" s="6" t="s">
        <v>108</v>
      </c>
      <c r="C5" s="7" t="s">
        <v>109</v>
      </c>
    </row>
    <row r="6" spans="1:3" ht="18">
      <c r="A6" s="7" t="s">
        <v>39</v>
      </c>
      <c r="B6" s="6" t="s">
        <v>110</v>
      </c>
      <c r="C6" s="7" t="s">
        <v>111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2"/>
  <sheetViews>
    <sheetView workbookViewId="0">
      <selection sqref="A1:B1"/>
    </sheetView>
  </sheetViews>
  <sheetFormatPr baseColWidth="10" defaultColWidth="8.83203125" defaultRowHeight="14"/>
  <cols>
    <col min="1" max="1" width="25" customWidth="1"/>
    <col min="2" max="2" width="50" customWidth="1"/>
  </cols>
  <sheetData>
    <row r="1" spans="1:2">
      <c r="A1" s="11" t="s">
        <v>112</v>
      </c>
      <c r="B1" s="12"/>
    </row>
    <row r="3" spans="1:2" ht="18">
      <c r="A3" s="8" t="s">
        <v>113</v>
      </c>
    </row>
    <row r="4" spans="1:2" ht="18">
      <c r="A4" s="1" t="s">
        <v>114</v>
      </c>
      <c r="B4" s="9" t="s">
        <v>115</v>
      </c>
    </row>
    <row r="5" spans="1:2" ht="18">
      <c r="A5" s="1" t="s">
        <v>116</v>
      </c>
      <c r="B5" s="9" t="s">
        <v>117</v>
      </c>
    </row>
    <row r="6" spans="1:2" ht="18">
      <c r="A6" s="1"/>
      <c r="B6" s="9" t="s">
        <v>118</v>
      </c>
    </row>
    <row r="7" spans="1:2" ht="17">
      <c r="A7" s="1"/>
      <c r="B7" s="9"/>
    </row>
    <row r="8" spans="1:2" ht="18">
      <c r="A8" s="8" t="s">
        <v>119</v>
      </c>
    </row>
    <row r="9" spans="1:2" ht="18">
      <c r="A9" s="1" t="s">
        <v>120</v>
      </c>
      <c r="B9" s="9" t="s">
        <v>121</v>
      </c>
    </row>
    <row r="10" spans="1:2" ht="18">
      <c r="A10" s="1" t="s">
        <v>122</v>
      </c>
      <c r="B10" s="9" t="s">
        <v>123</v>
      </c>
    </row>
    <row r="11" spans="1:2" ht="18">
      <c r="A11" s="1" t="s">
        <v>124</v>
      </c>
      <c r="B11" s="9" t="s">
        <v>125</v>
      </c>
    </row>
    <row r="12" spans="1:2" ht="18">
      <c r="A12" s="1" t="s">
        <v>126</v>
      </c>
      <c r="B12" s="9" t="s">
        <v>127</v>
      </c>
    </row>
    <row r="13" spans="1:2" ht="18">
      <c r="A13" s="1" t="s">
        <v>128</v>
      </c>
      <c r="B13" s="9" t="s">
        <v>129</v>
      </c>
    </row>
    <row r="14" spans="1:2" ht="17">
      <c r="A14" s="1"/>
      <c r="B14" s="9"/>
    </row>
    <row r="15" spans="1:2" ht="18">
      <c r="A15" s="8" t="s">
        <v>130</v>
      </c>
    </row>
    <row r="16" spans="1:2" ht="18">
      <c r="A16" s="1" t="s">
        <v>131</v>
      </c>
      <c r="B16" s="9" t="s">
        <v>132</v>
      </c>
    </row>
    <row r="17" spans="1:2" ht="18">
      <c r="A17" s="1" t="s">
        <v>133</v>
      </c>
      <c r="B17" s="9" t="s">
        <v>134</v>
      </c>
    </row>
    <row r="18" spans="1:2" ht="18">
      <c r="A18" s="1" t="s">
        <v>135</v>
      </c>
      <c r="B18" s="9" t="s">
        <v>136</v>
      </c>
    </row>
    <row r="19" spans="1:2" ht="17">
      <c r="A19" s="1"/>
      <c r="B19" s="9"/>
    </row>
    <row r="20" spans="1:2" ht="18">
      <c r="A20" s="8" t="s">
        <v>137</v>
      </c>
    </row>
    <row r="21" spans="1:2" ht="18">
      <c r="A21" s="1" t="s">
        <v>138</v>
      </c>
      <c r="B21" s="9" t="s">
        <v>139</v>
      </c>
    </row>
    <row r="22" spans="1:2" ht="18">
      <c r="A22" s="1" t="s">
        <v>140</v>
      </c>
      <c r="B22" s="9" t="s">
        <v>141</v>
      </c>
    </row>
  </sheetData>
  <mergeCells count="1">
    <mergeCell ref="A1:B1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workbookViewId="0">
      <selection sqref="A1:C1"/>
    </sheetView>
  </sheetViews>
  <sheetFormatPr baseColWidth="10" defaultColWidth="8.83203125" defaultRowHeight="14"/>
  <cols>
    <col min="1" max="1" width="20" customWidth="1"/>
    <col min="2" max="2" width="50" customWidth="1"/>
    <col min="3" max="3" width="15" customWidth="1"/>
  </cols>
  <sheetData>
    <row r="1" spans="1:3">
      <c r="A1" s="11" t="s">
        <v>142</v>
      </c>
      <c r="B1" s="12"/>
      <c r="C1" s="12"/>
    </row>
    <row r="3" spans="1:3" ht="25" customHeight="1">
      <c r="A3" s="5" t="s">
        <v>21</v>
      </c>
      <c r="B3" s="5" t="s">
        <v>143</v>
      </c>
      <c r="C3" s="5" t="s">
        <v>144</v>
      </c>
    </row>
    <row r="4" spans="1:3" ht="30" customHeight="1">
      <c r="A4" s="7" t="s">
        <v>145</v>
      </c>
      <c r="B4" s="6" t="s">
        <v>146</v>
      </c>
      <c r="C4" s="7" t="s">
        <v>147</v>
      </c>
    </row>
    <row r="5" spans="1:3" ht="30" customHeight="1">
      <c r="A5" s="7" t="s">
        <v>145</v>
      </c>
      <c r="B5" s="6" t="s">
        <v>148</v>
      </c>
      <c r="C5" s="7" t="s">
        <v>147</v>
      </c>
    </row>
    <row r="6" spans="1:3" ht="30" customHeight="1">
      <c r="A6" s="7" t="s">
        <v>145</v>
      </c>
      <c r="B6" s="6" t="s">
        <v>149</v>
      </c>
      <c r="C6" s="7" t="s">
        <v>147</v>
      </c>
    </row>
    <row r="8" spans="1:3" ht="30" customHeight="1">
      <c r="A8" s="7" t="s">
        <v>150</v>
      </c>
      <c r="B8" s="6" t="s">
        <v>151</v>
      </c>
      <c r="C8" s="7" t="s">
        <v>147</v>
      </c>
    </row>
    <row r="9" spans="1:3" ht="30" customHeight="1">
      <c r="A9" s="7" t="s">
        <v>150</v>
      </c>
      <c r="B9" s="6" t="s">
        <v>152</v>
      </c>
      <c r="C9" s="7" t="s">
        <v>153</v>
      </c>
    </row>
    <row r="10" spans="1:3" ht="30" customHeight="1">
      <c r="A10" s="7" t="s">
        <v>150</v>
      </c>
      <c r="B10" s="6" t="s">
        <v>154</v>
      </c>
      <c r="C10" s="7" t="s">
        <v>153</v>
      </c>
    </row>
    <row r="12" spans="1:3" ht="30" customHeight="1">
      <c r="A12" s="7" t="s">
        <v>155</v>
      </c>
      <c r="B12" s="6" t="s">
        <v>156</v>
      </c>
      <c r="C12" s="7" t="s">
        <v>153</v>
      </c>
    </row>
    <row r="13" spans="1:3" ht="30" customHeight="1">
      <c r="A13" s="7" t="s">
        <v>155</v>
      </c>
      <c r="B13" s="6" t="s">
        <v>157</v>
      </c>
      <c r="C13" s="7" t="s">
        <v>153</v>
      </c>
    </row>
    <row r="14" spans="1:3" ht="30" customHeight="1">
      <c r="A14" s="7" t="s">
        <v>155</v>
      </c>
      <c r="B14" s="6" t="s">
        <v>158</v>
      </c>
      <c r="C14" s="7" t="s">
        <v>153</v>
      </c>
    </row>
    <row r="16" spans="1:3" ht="30" customHeight="1">
      <c r="A16" s="7" t="s">
        <v>159</v>
      </c>
      <c r="B16" s="6" t="s">
        <v>160</v>
      </c>
      <c r="C16" s="7" t="s">
        <v>153</v>
      </c>
    </row>
    <row r="17" spans="1:3" ht="30" customHeight="1">
      <c r="A17" s="7" t="s">
        <v>159</v>
      </c>
      <c r="B17" s="6" t="s">
        <v>161</v>
      </c>
      <c r="C17" s="7" t="s">
        <v>153</v>
      </c>
    </row>
    <row r="18" spans="1:3" ht="30" customHeight="1">
      <c r="A18" s="7" t="s">
        <v>159</v>
      </c>
      <c r="B18" s="6" t="s">
        <v>162</v>
      </c>
      <c r="C18" s="7" t="s">
        <v>153</v>
      </c>
    </row>
    <row r="19" spans="1:3" ht="30" customHeight="1">
      <c r="A19" s="7" t="s">
        <v>159</v>
      </c>
      <c r="B19" s="6" t="s">
        <v>163</v>
      </c>
      <c r="C19" s="7" t="s">
        <v>153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selection sqref="A1:B1"/>
    </sheetView>
  </sheetViews>
  <sheetFormatPr baseColWidth="10" defaultColWidth="8.83203125" defaultRowHeight="14"/>
  <cols>
    <col min="1" max="1" width="10" customWidth="1"/>
    <col min="2" max="2" width="60" customWidth="1"/>
  </cols>
  <sheetData>
    <row r="1" spans="1:2">
      <c r="A1" s="11" t="s">
        <v>164</v>
      </c>
      <c r="B1" s="12"/>
    </row>
    <row r="3" spans="1:2" ht="18">
      <c r="A3" s="10" t="s">
        <v>33</v>
      </c>
      <c r="B3" s="9" t="s">
        <v>165</v>
      </c>
    </row>
    <row r="4" spans="1:2" ht="18">
      <c r="A4" s="10" t="s">
        <v>36</v>
      </c>
      <c r="B4" s="9" t="s">
        <v>166</v>
      </c>
    </row>
    <row r="5" spans="1:2" ht="18">
      <c r="A5" s="10" t="s">
        <v>39</v>
      </c>
      <c r="B5" s="9" t="s">
        <v>167</v>
      </c>
    </row>
    <row r="6" spans="1:2" ht="18">
      <c r="A6" s="10" t="s">
        <v>42</v>
      </c>
      <c r="B6" s="9" t="s">
        <v>168</v>
      </c>
    </row>
    <row r="7" spans="1:2" ht="18">
      <c r="A7" s="10" t="s">
        <v>45</v>
      </c>
      <c r="B7" s="9" t="s">
        <v>169</v>
      </c>
    </row>
    <row r="8" spans="1:2" ht="18">
      <c r="A8" s="10" t="s">
        <v>62</v>
      </c>
      <c r="B8" s="9" t="s">
        <v>170</v>
      </c>
    </row>
    <row r="9" spans="1:2" ht="18">
      <c r="A9" s="10" t="s">
        <v>64</v>
      </c>
      <c r="B9" s="9" t="s">
        <v>171</v>
      </c>
    </row>
  </sheetData>
  <mergeCells count="1">
    <mergeCell ref="A1:B1"/>
  </mergeCells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>
      <selection sqref="A1:B1"/>
    </sheetView>
  </sheetViews>
  <sheetFormatPr baseColWidth="10" defaultColWidth="8.83203125" defaultRowHeight="14"/>
  <cols>
    <col min="1" max="1" width="20" customWidth="1"/>
    <col min="2" max="2" width="50" customWidth="1"/>
  </cols>
  <sheetData>
    <row r="1" spans="1:2">
      <c r="A1" s="11" t="s">
        <v>172</v>
      </c>
      <c r="B1" s="12"/>
    </row>
    <row r="3" spans="1:2" ht="17">
      <c r="A3" s="4" t="s">
        <v>21</v>
      </c>
      <c r="B3" s="4" t="s">
        <v>173</v>
      </c>
    </row>
    <row r="4" spans="1:2" ht="18">
      <c r="A4" s="1" t="s">
        <v>174</v>
      </c>
      <c r="B4" s="9" t="s">
        <v>175</v>
      </c>
    </row>
    <row r="5" spans="1:2" ht="18">
      <c r="A5" s="1" t="s">
        <v>176</v>
      </c>
      <c r="B5" s="9" t="s">
        <v>177</v>
      </c>
    </row>
    <row r="6" spans="1:2" ht="18">
      <c r="A6" s="1" t="s">
        <v>178</v>
      </c>
      <c r="B6" s="9" t="s">
        <v>179</v>
      </c>
    </row>
    <row r="7" spans="1:2" ht="18">
      <c r="A7" s="1" t="s">
        <v>180</v>
      </c>
      <c r="B7" s="9" t="s">
        <v>181</v>
      </c>
    </row>
    <row r="8" spans="1:2" ht="18">
      <c r="A8" s="1" t="s">
        <v>182</v>
      </c>
      <c r="B8" s="9" t="s">
        <v>183</v>
      </c>
    </row>
    <row r="9" spans="1:2" ht="18">
      <c r="A9" s="1" t="s">
        <v>184</v>
      </c>
      <c r="B9" s="9" t="s">
        <v>185</v>
      </c>
    </row>
    <row r="10" spans="1:2" ht="18">
      <c r="A10" s="1" t="s">
        <v>186</v>
      </c>
      <c r="B10" s="9" t="s">
        <v>187</v>
      </c>
    </row>
  </sheetData>
  <mergeCells count="1">
    <mergeCell ref="A1:B1"/>
  </mergeCells>
  <phoneticPr fontId="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workbookViewId="0">
      <selection sqref="A1:D1"/>
    </sheetView>
  </sheetViews>
  <sheetFormatPr baseColWidth="10" defaultColWidth="8.83203125" defaultRowHeight="14"/>
  <cols>
    <col min="1" max="1" width="20" customWidth="1"/>
    <col min="2" max="2" width="30" customWidth="1"/>
    <col min="3" max="3" width="15" customWidth="1"/>
    <col min="4" max="4" width="40" customWidth="1"/>
  </cols>
  <sheetData>
    <row r="1" spans="1:4">
      <c r="A1" s="11" t="s">
        <v>188</v>
      </c>
      <c r="B1" s="12"/>
      <c r="C1" s="12"/>
      <c r="D1" s="12"/>
    </row>
    <row r="3" spans="1:4" ht="19">
      <c r="A3" s="5" t="s">
        <v>189</v>
      </c>
      <c r="B3" s="5" t="s">
        <v>190</v>
      </c>
      <c r="C3" s="5" t="s">
        <v>191</v>
      </c>
      <c r="D3" s="5" t="s">
        <v>192</v>
      </c>
    </row>
    <row r="4" spans="1:4" ht="18">
      <c r="A4" s="7" t="s">
        <v>193</v>
      </c>
      <c r="B4" s="6" t="s">
        <v>194</v>
      </c>
      <c r="C4" s="7" t="s">
        <v>195</v>
      </c>
      <c r="D4" s="6" t="s">
        <v>196</v>
      </c>
    </row>
    <row r="5" spans="1:4" ht="36">
      <c r="A5" s="7" t="s">
        <v>197</v>
      </c>
      <c r="B5" s="6" t="s">
        <v>198</v>
      </c>
      <c r="C5" s="7" t="s">
        <v>195</v>
      </c>
      <c r="D5" s="6" t="s">
        <v>199</v>
      </c>
    </row>
    <row r="6" spans="1:4" ht="36">
      <c r="A6" s="7" t="s">
        <v>200</v>
      </c>
      <c r="B6" s="6" t="s">
        <v>201</v>
      </c>
      <c r="C6" s="7" t="s">
        <v>195</v>
      </c>
      <c r="D6" s="6" t="s">
        <v>202</v>
      </c>
    </row>
  </sheetData>
  <mergeCells count="1">
    <mergeCell ref="A1:D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基本信息</vt:lpstr>
      <vt:lpstr>项目目标</vt:lpstr>
      <vt:lpstr>核心发现</vt:lpstr>
      <vt:lpstr>消费场景分析</vt:lpstr>
      <vt:lpstr>品牌分析</vt:lpstr>
      <vt:lpstr>用户画像</vt:lpstr>
      <vt:lpstr>高赞评论TOP3</vt:lpstr>
      <vt:lpstr>交付成果</vt:lpstr>
      <vt:lpstr>关键建议</vt:lpstr>
      <vt:lpstr>后续研究方向</vt:lpstr>
      <vt:lpstr>技术方案</vt:lpstr>
      <vt:lpstr>技术问题解决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chuxin chen</cp:lastModifiedBy>
  <dcterms:created xsi:type="dcterms:W3CDTF">2026-01-27T09:21:38Z</dcterms:created>
  <dcterms:modified xsi:type="dcterms:W3CDTF">2026-01-28T08:45:31Z</dcterms:modified>
</cp:coreProperties>
</file>